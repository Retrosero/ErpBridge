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6d1bc0094542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Özet" sheetId="1" r:id="R7f792b9ecc1f4a68"/>
    <x:sheet xmlns:r="http://schemas.openxmlformats.org/officeDocument/2006/relationships" name="Etkilenen Müşteriler" sheetId="2" r:id="R64ceef4a1d72465b"/>
    <x:sheet xmlns:r="http://schemas.openxmlformats.org/officeDocument/2006/relationships" name="Kaynak Faturalar" sheetId="3" r:id="Rbe19951efc6f4e9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.00;[Red]-#,##0.00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sz val="11"/>
      <x:color rgb="FF334155"/>
      <x:name val="Carlito"/>
    </x:font>
    <x:font>
      <x:b/>
      <x:sz val="11"/>
      <x:color rgb="FF17365D"/>
      <x:name val="Carlito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CEAF7"/>
      </x:patternFill>
    </x:fill>
    <x:fill>
      <x:patternFill patternType="solid">
        <x:fgColor rgb="FFF5F8FC"/>
      </x:patternFill>
    </x:fill>
    <x:fill>
      <x:patternFill patternType="solid">
        <x:fgColor rgb="FFFFF7D6"/>
      </x:patternFill>
    </x:fill>
  </x:fills>
  <x:borders count="16">
    <x:border/>
    <x:border>
      <x:left style="thin">
        <x:color rgb="FF9FBAD0"/>
      </x:left>
      <x:top style="thin">
        <x:color rgb="FF9FBAD0"/>
      </x:top>
    </x:border>
    <x:border>
      <x:right style="thin">
        <x:color rgb="FF9FBAD0"/>
      </x:right>
      <x:top style="thin">
        <x:color rgb="FF9FBAD0"/>
      </x:top>
    </x:border>
    <x:border>
      <x:left style="thin">
        <x:color rgb="FF9FBAD0"/>
      </x:left>
    </x:border>
    <x:border>
      <x:right style="thin">
        <x:color rgb="FF9FBAD0"/>
      </x:right>
    </x:border>
    <x:border>
      <x:left style="thin">
        <x:color rgb="FF9FBAD0"/>
      </x:left>
      <x:bottom style="thin">
        <x:color rgb="FF9FBAD0"/>
      </x:bottom>
    </x:border>
    <x:border>
      <x:right style="thin">
        <x:color rgb="FF9FBAD0"/>
      </x:right>
      <x:bottom style="thin">
        <x:color rgb="FF9FBAD0"/>
      </x:bottom>
    </x:border>
    <x:border>
      <x:right style="thin">
        <x:color rgb="FFD9E2F0"/>
      </x:right>
      <x:bottom style="thin">
        <x:color rgb="FFD9E2F0"/>
      </x:bottom>
    </x:border>
    <x:border>
      <x:left style="thin">
        <x:color rgb="FFD9E2F0"/>
      </x:left>
      <x:right style="thin">
        <x:color rgb="FFD9E2F0"/>
      </x:right>
      <x:bottom style="thin">
        <x:color rgb="FFD9E2F0"/>
      </x:bottom>
    </x:border>
    <x:border>
      <x:left style="thin">
        <x:color rgb="FFD9E2F0"/>
      </x:left>
      <x:bottom style="thin">
        <x:color rgb="FFD9E2F0"/>
      </x:bottom>
    </x:border>
    <x:border>
      <x:right style="thin">
        <x:color rgb="FFD9E2F0"/>
      </x:right>
      <x:top style="thin">
        <x:color rgb="FFD9E2F0"/>
      </x:top>
      <x:bottom style="thin">
        <x:color rgb="FFD9E2F0"/>
      </x:bottom>
    </x:border>
    <x:border>
      <x:left style="thin">
        <x:color rgb="FFD9E2F0"/>
      </x:left>
      <x:right style="thin">
        <x:color rgb="FFD9E2F0"/>
      </x:right>
      <x:top style="thin">
        <x:color rgb="FFD9E2F0"/>
      </x:top>
      <x:bottom style="thin">
        <x:color rgb="FFD9E2F0"/>
      </x:bottom>
    </x:border>
    <x:border>
      <x:left style="thin">
        <x:color rgb="FFD9E2F0"/>
      </x:left>
      <x:top style="thin">
        <x:color rgb="FFD9E2F0"/>
      </x:top>
      <x:bottom style="thin">
        <x:color rgb="FFD9E2F0"/>
      </x:bottom>
    </x:border>
    <x:border>
      <x:right style="thin">
        <x:color rgb="FFD9E2F0"/>
      </x:right>
      <x:top style="thin">
        <x:color rgb="FFD9E2F0"/>
      </x:top>
    </x:border>
    <x:border>
      <x:left style="thin">
        <x:color rgb="FFD9E2F0"/>
      </x:left>
      <x:right style="thin">
        <x:color rgb="FFD9E2F0"/>
      </x:right>
      <x:top style="thin">
        <x:color rgb="FFD9E2F0"/>
      </x:top>
    </x:border>
    <x:border>
      <x:left style="thin">
        <x:color rgb="FFD9E2F0"/>
      </x:left>
      <x:top style="thin">
        <x:color rgb="FFD9E2F0"/>
      </x:top>
    </x:border>
  </x:borders>
  <x:cellStyleXfs count="1">
    <x:xf numFmtId="0" fontId="0" fillId="0" borderId="0"/>
  </x:cellStyleXfs>
  <x:cellXfs count="4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2" xfId="0" applyNumberFormat="1" applyFont="1" applyFill="1" applyBorder="1"/>
    <x:xf numFmtId="201" fontId="0" fillId="0" borderId="4" xfId="0" applyNumberFormat="1" applyFont="1" applyFill="1" applyBorder="1"/>
    <x:xf numFmtId="201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3" borderId="0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horizontal="center" wrapText="1"/>
    </x:xf>
    <x:xf numFmtId="0" fontId="5" fillId="2" borderId="7" xfId="0" applyNumberFormat="1" applyFont="1" applyFill="1" applyBorder="1" applyAlignment="1">
      <x:alignment horizontal="center" wrapText="1"/>
    </x:xf>
    <x:xf numFmtId="0" fontId="5" fillId="2" borderId="8" xfId="0" applyNumberFormat="1" applyFont="1" applyFill="1" applyBorder="1" applyAlignment="1">
      <x:alignment horizontal="center" wrapText="1"/>
    </x:xf>
    <x:xf numFmtId="0" fontId="5" fillId="2" borderId="9" xfId="0" applyNumberFormat="1" applyFont="1" applyFill="1" applyBorder="1" applyAlignment="1">
      <x:alignment horizontal="center" wrapText="1"/>
    </x:xf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201" fontId="0" fillId="0" borderId="11" xfId="0" applyNumberFormat="1" applyFont="1" applyFill="1" applyBorder="1"/>
    <x:xf numFmtId="201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201" fontId="0" fillId="0" borderId="14" xfId="0" applyNumberFormat="1" applyFont="1" applyFill="1" applyBorder="1"/>
    <x:xf numFmtId="201" fontId="0" fillId="0" borderId="15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1" xfId="0" applyNumberFormat="1" applyFont="1" applyFill="1" applyBorder="1"/>
    <x:xf numFmtId="200" fontId="0" fillId="0" borderId="14" xfId="0" applyNumberFormat="1" applyFont="1" applyFill="1" applyBorder="1"/>
  </x:cellXfs>
  <x:cellStyles count="1">
    <x:cellStyle name="Normal" xfId="0"/>
  </x:cellStyles>
  <x:dxfs count="4"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DE2E2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91B1B"/>
      </x:font>
      <x:fill>
        <x:patternFill patternType="solid">
          <x:bgColor rgb="FFFD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086df1b3c2a45df" /><Relationship Type="http://schemas.openxmlformats.org/officeDocument/2006/relationships/theme" Target="/xl/theme/theme1.xml" Id="R451b55e15e6e4b7c" /><Relationship Type="http://schemas.openxmlformats.org/officeDocument/2006/relationships/sharedStrings" Target="/xl/sharedStrings.xml" Id="R6f922d022d79457d" /><Relationship Type="http://schemas.openxmlformats.org/officeDocument/2006/relationships/worksheet" Target="/xl/worksheets/sheet1.xml" Id="R7f792b9ecc1f4a68" /><Relationship Type="http://schemas.openxmlformats.org/officeDocument/2006/relationships/worksheet" Target="/xl/worksheets/sheet2.xml" Id="R64ceef4a1d72465b" /><Relationship Type="http://schemas.openxmlformats.org/officeDocument/2006/relationships/worksheet" Target="/xl/worksheets/sheet3.xml" Id="Rbe19951efc6f4e92" /></Relationships>
</file>

<file path=xl/tables/table1.xml><?xml version="1.0" encoding="utf-8"?>
<x:table xmlns:x="http://schemas.openxmlformats.org/spreadsheetml/2006/main" id="1" name="EtkilenenMusteriler" displayName="EtkilenenMusteriler" ref="A1:H34" headerRowCount="1" totalsRowCount="0" totalsRowShown="0">
  <x:tableColumns count="8">
    <x:tableColumn id="1" name="Müşteri ID"/>
    <x:tableColumn id="2" name="Müşteri"/>
    <x:tableColumn id="3" name="Müşteri Kodu"/>
    <x:tableColumn id="4" name="Kart Bakiyesi"/>
    <x:tableColumn id="5" name="Eski Hesap"/>
    <x:tableColumn id="6" name="Yeni Hesap"/>
    <x:tableColumn id="7" name="Hesap Değişimi"/>
    <x:tableColumn id="8" name="Kart – Yeni Hesap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KaynakFaturalar" displayName="KaynakFaturalar" ref="A1:I50" headerRowCount="1" totalsRowCount="0" totalsRowShown="0">
  <x:tableColumns count="9">
    <x:tableColumn id="1" name="Müşteri ID"/>
    <x:tableColumn id="2" name="Müşteri"/>
    <x:tableColumn id="3" name="Fatura ID"/>
    <x:tableColumn id="4" name="Fatura Tarihi"/>
    <x:tableColumn id="5" name="Tür"/>
    <x:tableColumn id="6" name="İptal"/>
    <x:tableColumn id="7" name="Ara Toplam"/>
    <x:tableColumn id="8" name="Genel Toplam"/>
    <x:tableColumn id="9" name="Hesap Etkisi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2b1e723b3f4480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d64816dca8b40ac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 ht="30" customHeight="1">
      <x:c r="A1" s="4" t="str">
        <x:v>Bakiye Hesaplama Güncellemesi – Etki Raporu</x:v>
      </x:c>
    </x:row>
    <x:row r="3">
      <x:c r="A3" s="7" t="str">
        <x:v>Rapor tarihi</x:v>
      </x:c>
      <x:c r="B3" s="13" t="n">
        <x:v>46243.476579421294</x:v>
      </x:c>
    </x:row>
    <x:row r="4">
      <x:c r="A4" s="9" t="str">
        <x:v>Etkilenen müşteri</x:v>
      </x:c>
      <x:c r="B4" s="10" t="n">
        <x:v>33</x:v>
      </x:c>
    </x:row>
    <x:row r="5">
      <x:c r="A5" s="9" t="str">
        <x:v>Toplam mutlak etki</x:v>
      </x:c>
      <x:c r="B5" s="14" t="n">
        <x:v>83570.85</x:v>
      </x:c>
    </x:row>
    <x:row r="6">
      <x:c r="A6" s="11" t="str">
        <x:v>Net etki</x:v>
      </x:c>
      <x:c r="B6" s="15" t="n">
        <x:v>47444.15</x:v>
      </x:c>
    </x:row>
    <x:row r="8" ht="26" customHeight="1">
      <x:c r="A8" s="19" t="str">
        <x:v>Kapsam: 1 Ağustos 2026 güncellemesinden önce faturalar ara toplam (toplam_tutar) ile, güncellemeden sonra iptal olmayan faturaların genel toplamı (genel_toplam) ile hesaplanmaktadır. Tahsilat ve tediye kuralları iki hesapta aynıdır. ‘Hesap değişimi’, yeni bakiye eksi eski bakiyedir.</x:v>
      </x:c>
    </x:row>
    <x:row r="9" ht="26" customHeight="1"/>
    <x:row r="10" ht="26" customHeight="1"/>
    <x:row r="12">
      <x:c r="A12" s="20" t="str">
        <x:v>Önemli not</x:v>
      </x:c>
      <x:c r="B12" s="20" t="str"/>
      <x:c r="C12" s="20" t="str"/>
      <x:c r="D12" s="20" t="str"/>
      <x:c r="E12" s="20" t="str"/>
      <x:c r="F12" s="20" t="str"/>
      <x:c r="G12" s="20" t="str"/>
      <x:c r="H12" s="20" t="str"/>
    </x:row>
    <x:row r="13" ht="24" customHeight="1">
      <x:c r="A13" s="23" t="str">
        <x:v>Müşteri kartındaki kayıtlı bakiye alanı, dinamik hesaplanan bakiyeden bağımsız olarak eski kalmış olabilir. Bu nedenle ‘Kart – yeni hesap’ sütunu ayrı gösterilmiştir. Kaynak Faturalar sekmesi, her farkın fatura bazındaki nedenini sunar.</x:v>
      </x:c>
    </x:row>
    <x:row r="14" ht="24" customHeight="1"/>
    <x:row r="15" ht="24" customHeight="1"/>
  </x:sheetData>
  <x:mergeCells>
    <x:mergeCell ref="A1:H1"/>
    <x:mergeCell ref="A8:H10"/>
    <x:mergeCell ref="A13:H15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0" hidden="0" customWidth="1"/>
    <x:col min="3" max="3" width="16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</x:cols>
  <x:sheetData>
    <x:row r="1">
      <x:c r="A1" s="28" t="str">
        <x:v>Müşteri ID</x:v>
      </x:c>
      <x:c r="B1" s="29" t="str">
        <x:v>Müşteri</x:v>
      </x:c>
      <x:c r="C1" s="29" t="str">
        <x:v>Müşteri Kodu</x:v>
      </x:c>
      <x:c r="D1" s="29" t="str">
        <x:v>Kart Bakiyesi</x:v>
      </x:c>
      <x:c r="E1" s="29" t="str">
        <x:v>Eski Hesap</x:v>
      </x:c>
      <x:c r="F1" s="29" t="str">
        <x:v>Yeni Hesap</x:v>
      </x:c>
      <x:c r="G1" s="29" t="str">
        <x:v>Hesap Değişimi</x:v>
      </x:c>
      <x:c r="H1" s="30" t="str">
        <x:v>Kart – Yeni Hesap</x:v>
      </x:c>
    </x:row>
    <x:row r="2" ht="15" hidden="0" customHeight="1">
      <x:c r="A2" s="31" t="n">
        <x:v>60</x:v>
      </x:c>
      <x:c r="B2" s="39" t="str">
        <x:v>OSCAR LOKUM BAHARAT TİCARET LİMİTED ŞİRKETİ </x:v>
      </x:c>
      <x:c r="C2" s="32" t="str">
        <x:v>MUS284130</x:v>
      </x:c>
      <x:c r="D2" s="33" t="n">
        <x:v>-164545</x:v>
      </x:c>
      <x:c r="E2" s="33" t="n">
        <x:v>-164545</x:v>
      </x:c>
      <x:c r="F2" s="33" t="n">
        <x:v>-142045</x:v>
      </x:c>
      <x:c r="G2" s="33" t="n">
        <x:v>22500</x:v>
      </x:c>
      <x:c r="H2" s="34" t="n">
        <x:v>-22500</x:v>
      </x:c>
    </x:row>
    <x:row r="3" ht="15" hidden="0" customHeight="1">
      <x:c r="A3" s="31" t="n">
        <x:v>54</x:v>
      </x:c>
      <x:c r="B3" s="39" t="str">
        <x:v>ÖZGÜR KESKİN</x:v>
      </x:c>
      <x:c r="C3" s="32" t="str">
        <x:v>MUS366861</x:v>
      </x:c>
      <x:c r="D3" s="33" t="n">
        <x:v>263084</x:v>
      </x:c>
      <x:c r="E3" s="33" t="n">
        <x:v>263084</x:v>
      </x:c>
      <x:c r="F3" s="33" t="n">
        <x:v>284714</x:v>
      </x:c>
      <x:c r="G3" s="33" t="n">
        <x:v>21630</x:v>
      </x:c>
      <x:c r="H3" s="34" t="n">
        <x:v>-21630</x:v>
      </x:c>
    </x:row>
    <x:row r="4" ht="15" hidden="0" customHeight="1">
      <x:c r="A4" s="31" t="n">
        <x:v>108</x:v>
      </x:c>
      <x:c r="B4" s="39" t="str">
        <x:v>TOLGA BEY</x:v>
      </x:c>
      <x:c r="C4" s="32" t="str">
        <x:v>MUS601604</x:v>
      </x:c>
      <x:c r="D4" s="33" t="n">
        <x:v>26835</x:v>
      </x:c>
      <x:c r="E4" s="33" t="n">
        <x:v>26835</x:v>
      </x:c>
      <x:c r="F4" s="33" t="n">
        <x:v>36435</x:v>
      </x:c>
      <x:c r="G4" s="33" t="n">
        <x:v>9600</x:v>
      </x:c>
      <x:c r="H4" s="34" t="n">
        <x:v>-9600</x:v>
      </x:c>
    </x:row>
    <x:row r="5" ht="15" hidden="0" customHeight="1">
      <x:c r="A5" s="31" t="n">
        <x:v>71</x:v>
      </x:c>
      <x:c r="B5" s="39" t="str">
        <x:v>AHMET KAYAHAN</x:v>
      </x:c>
      <x:c r="C5" s="32" t="str">
        <x:v>MUS531456</x:v>
      </x:c>
      <x:c r="D5" s="33" t="n">
        <x:v>0</x:v>
      </x:c>
      <x:c r="E5" s="33" t="n">
        <x:v>0</x:v>
      </x:c>
      <x:c r="F5" s="33" t="n">
        <x:v>8650</x:v>
      </x:c>
      <x:c r="G5" s="33" t="n">
        <x:v>8650</x:v>
      </x:c>
      <x:c r="H5" s="34" t="n">
        <x:v>-8650</x:v>
      </x:c>
    </x:row>
    <x:row r="6" ht="15" hidden="0" customHeight="1">
      <x:c r="A6" s="31" t="n">
        <x:v>81</x:v>
      </x:c>
      <x:c r="B6" s="39" t="str">
        <x:v>MEHMET SU MUHTAR</x:v>
      </x:c>
      <x:c r="C6" s="32" t="str">
        <x:v>MUS774621</x:v>
      </x:c>
      <x:c r="D6" s="33" t="n">
        <x:v>-218130</x:v>
      </x:c>
      <x:c r="E6" s="33" t="n">
        <x:v>-189630</x:v>
      </x:c>
      <x:c r="F6" s="33" t="n">
        <x:v>-193880</x:v>
      </x:c>
      <x:c r="G6" s="33" t="n">
        <x:v>-4250</x:v>
      </x:c>
      <x:c r="H6" s="34" t="n">
        <x:v>-24250</x:v>
      </x:c>
    </x:row>
    <x:row r="7" ht="15" hidden="0" customHeight="1">
      <x:c r="A7" s="31" t="n">
        <x:v>92</x:v>
      </x:c>
      <x:c r="B7" s="39" t="str">
        <x:v>BARIŞ BEY KEMER</x:v>
      </x:c>
      <x:c r="C7" s="32" t="str">
        <x:v>MUS194395</x:v>
      </x:c>
      <x:c r="D7" s="33" t="n">
        <x:v>2740</x:v>
      </x:c>
      <x:c r="E7" s="33" t="n">
        <x:v>2740</x:v>
      </x:c>
      <x:c r="F7" s="33" t="n">
        <x:v>0</x:v>
      </x:c>
      <x:c r="G7" s="33" t="n">
        <x:v>-2740</x:v>
      </x:c>
      <x:c r="H7" s="34" t="n">
        <x:v>2740</x:v>
      </x:c>
    </x:row>
    <x:row r="8" ht="15" hidden="0" customHeight="1">
      <x:c r="A8" s="31" t="n">
        <x:v>94</x:v>
      </x:c>
      <x:c r="B8" s="39" t="str">
        <x:v>OSKAR KEMER</x:v>
      </x:c>
      <x:c r="C8" s="32" t="str">
        <x:v>MUS660957</x:v>
      </x:c>
      <x:c r="D8" s="33" t="n">
        <x:v>0</x:v>
      </x:c>
      <x:c r="E8" s="33" t="n">
        <x:v>0</x:v>
      </x:c>
      <x:c r="F8" s="33" t="n">
        <x:v>-2400</x:v>
      </x:c>
      <x:c r="G8" s="33" t="n">
        <x:v>-2400</x:v>
      </x:c>
      <x:c r="H8" s="34" t="n">
        <x:v>2400</x:v>
      </x:c>
    </x:row>
    <x:row r="9" ht="15" hidden="0" customHeight="1">
      <x:c r="A9" s="31" t="n">
        <x:v>66</x:v>
      </x:c>
      <x:c r="B9" s="39" t="str">
        <x:v>ÖNDER KAHRAMAN</x:v>
      </x:c>
      <x:c r="C9" s="32" t="str">
        <x:v>MUS953017</x:v>
      </x:c>
      <x:c r="D9" s="33" t="n">
        <x:v>140570</x:v>
      </x:c>
      <x:c r="E9" s="33" t="n">
        <x:v>140570</x:v>
      </x:c>
      <x:c r="F9" s="33" t="n">
        <x:v>138190</x:v>
      </x:c>
      <x:c r="G9" s="33" t="n">
        <x:v>-2380</x:v>
      </x:c>
      <x:c r="H9" s="34" t="n">
        <x:v>2380</x:v>
      </x:c>
    </x:row>
    <x:row r="10" ht="26.399999618530273" hidden="0" customHeight="1">
      <x:c r="A10" s="31" t="n">
        <x:v>46</x:v>
      </x:c>
      <x:c r="B10" s="39" t="str">
        <x:v>GÜVENCAN GIDA PAZARLAMA TURİZM SANAYİ VE TİCARET LİMİTED ŞİRKETİ </x:v>
      </x:c>
      <x:c r="C10" s="32" t="str">
        <x:v>MUS462752</x:v>
      </x:c>
      <x:c r="D10" s="33" t="n">
        <x:v>-92410.28</x:v>
      </x:c>
      <x:c r="E10" s="33" t="n">
        <x:v>-89370.28</x:v>
      </x:c>
      <x:c r="F10" s="33" t="n">
        <x:v>-90890.28</x:v>
      </x:c>
      <x:c r="G10" s="33" t="n">
        <x:v>-1520</x:v>
      </x:c>
      <x:c r="H10" s="34" t="n">
        <x:v>-1520</x:v>
      </x:c>
    </x:row>
    <x:row r="11" ht="15" hidden="0" customHeight="1">
      <x:c r="A11" s="31" t="n">
        <x:v>65</x:v>
      </x:c>
      <x:c r="B11" s="39" t="str">
        <x:v>NAZİF ÇİFTÇİ DELTA BAHARAT/KINA BELLA</x:v>
      </x:c>
      <x:c r="C11" s="32" t="str">
        <x:v>MUS837836</x:v>
      </x:c>
      <x:c r="D11" s="33" t="n">
        <x:v>-163960</x:v>
      </x:c>
      <x:c r="E11" s="33" t="n">
        <x:v>-156640</x:v>
      </x:c>
      <x:c r="F11" s="33" t="n">
        <x:v>-157800</x:v>
      </x:c>
      <x:c r="G11" s="33" t="n">
        <x:v>-1160</x:v>
      </x:c>
      <x:c r="H11" s="34" t="n">
        <x:v>-6160</x:v>
      </x:c>
    </x:row>
    <x:row r="12" ht="15" hidden="0" customHeight="1">
      <x:c r="A12" s="31" t="n">
        <x:v>89</x:v>
      </x:c>
      <x:c r="B12" s="39" t="str">
        <x:v>EFSANE BAHARAT</x:v>
      </x:c>
      <x:c r="C12" s="32" t="str">
        <x:v>MUS959173</x:v>
      </x:c>
      <x:c r="D12" s="33" t="n">
        <x:v>-683854.45</x:v>
      </x:c>
      <x:c r="E12" s="33" t="n">
        <x:v>-681654.45</x:v>
      </x:c>
      <x:c r="F12" s="33" t="n">
        <x:v>-682754.45</x:v>
      </x:c>
      <x:c r="G12" s="33" t="n">
        <x:v>-1100</x:v>
      </x:c>
      <x:c r="H12" s="34" t="n">
        <x:v>-1100</x:v>
      </x:c>
    </x:row>
    <x:row r="13" ht="15" hidden="0" customHeight="1">
      <x:c r="A13" s="31" t="n">
        <x:v>96</x:v>
      </x:c>
      <x:c r="B13" s="39" t="str">
        <x:v>ERAY BEY KAYF GIDA TUR.SAN.VE TİC.LTD.ŞTİ.</x:v>
      </x:c>
      <x:c r="C13" s="32" t="str">
        <x:v>MUS774597</x:v>
      </x:c>
      <x:c r="D13" s="33" t="n">
        <x:v>25160</x:v>
      </x:c>
      <x:c r="E13" s="33" t="n">
        <x:v>25160</x:v>
      </x:c>
      <x:c r="F13" s="33" t="n">
        <x:v>26060</x:v>
      </x:c>
      <x:c r="G13" s="33" t="n">
        <x:v>900</x:v>
      </x:c>
      <x:c r="H13" s="34" t="n">
        <x:v>-900</x:v>
      </x:c>
    </x:row>
    <x:row r="14" ht="15" hidden="0" customHeight="1">
      <x:c r="A14" s="31" t="n">
        <x:v>20</x:v>
      </x:c>
      <x:c r="B14" s="39" t="str">
        <x:v>RAHMİ TEKİN</x:v>
      </x:c>
      <x:c r="C14" s="32" t="str">
        <x:v>MUS698976</x:v>
      </x:c>
      <x:c r="D14" s="33" t="n">
        <x:v>43990</x:v>
      </x:c>
      <x:c r="E14" s="33" t="n">
        <x:v>43990</x:v>
      </x:c>
      <x:c r="F14" s="33" t="n">
        <x:v>43290</x:v>
      </x:c>
      <x:c r="G14" s="33" t="n">
        <x:v>-700</x:v>
      </x:c>
      <x:c r="H14" s="34" t="n">
        <x:v>700</x:v>
      </x:c>
    </x:row>
    <x:row r="15" ht="15" hidden="0" customHeight="1">
      <x:c r="A15" s="31" t="n">
        <x:v>136</x:v>
      </x:c>
      <x:c r="B15" s="39" t="str">
        <x:v>ALP KURUYEMİŞ </x:v>
      </x:c>
      <x:c r="C15" s="32" t="str">
        <x:v>MUS933647</x:v>
      </x:c>
      <x:c r="D15" s="33" t="n">
        <x:v>0</x:v>
      </x:c>
      <x:c r="E15" s="33" t="n">
        <x:v>0</x:v>
      </x:c>
      <x:c r="F15" s="33" t="n">
        <x:v>500</x:v>
      </x:c>
      <x:c r="G15" s="33" t="n">
        <x:v>500</x:v>
      </x:c>
      <x:c r="H15" s="34" t="n">
        <x:v>-500</x:v>
      </x:c>
    </x:row>
    <x:row r="16" ht="15" hidden="0" customHeight="1">
      <x:c r="A16" s="31" t="n">
        <x:v>7</x:v>
      </x:c>
      <x:c r="B16" s="39" t="str">
        <x:v>RABİA ÇİMEN</x:v>
      </x:c>
      <x:c r="C16" s="32" t="str">
        <x:v>MUS425712</x:v>
      </x:c>
      <x:c r="D16" s="33" t="n">
        <x:v>28834.5</x:v>
      </x:c>
      <x:c r="E16" s="33" t="n">
        <x:v>28834.5</x:v>
      </x:c>
      <x:c r="F16" s="33" t="n">
        <x:v>29334.5</x:v>
      </x:c>
      <x:c r="G16" s="33" t="n">
        <x:v>500</x:v>
      </x:c>
      <x:c r="H16" s="34" t="n">
        <x:v>-500</x:v>
      </x:c>
    </x:row>
    <x:row r="17" ht="15" hidden="0" customHeight="1">
      <x:c r="A17" s="31" t="n">
        <x:v>64</x:v>
      </x:c>
      <x:c r="B17" s="39" t="str">
        <x:v>AYDOĞAN KİRİŞÇİ CEMİL EFENDİ</x:v>
      </x:c>
      <x:c r="C17" s="32" t="str">
        <x:v>MUS955087</x:v>
      </x:c>
      <x:c r="D17" s="33" t="n">
        <x:v>4598.74</x:v>
      </x:c>
      <x:c r="E17" s="33" t="n">
        <x:v>-49613</x:v>
      </x:c>
      <x:c r="F17" s="33" t="n">
        <x:v>-50109</x:v>
      </x:c>
      <x:c r="G17" s="33" t="n">
        <x:v>-496</x:v>
      </x:c>
      <x:c r="H17" s="34" t="n">
        <x:v>54707.74</x:v>
      </x:c>
    </x:row>
    <x:row r="18" ht="15" hidden="0" customHeight="1">
      <x:c r="A18" s="31" t="n">
        <x:v>39</x:v>
      </x:c>
      <x:c r="B18" s="39" t="str">
        <x:v>GÜN GIDA TİCARET LİMİTED ŞİRKETİ </x:v>
      </x:c>
      <x:c r="C18" s="32" t="str">
        <x:v>MUS177126</x:v>
      </x:c>
      <x:c r="D18" s="33" t="n">
        <x:v>-42388.75</x:v>
      </x:c>
      <x:c r="E18" s="33" t="n">
        <x:v>-43303.75</x:v>
      </x:c>
      <x:c r="F18" s="33" t="n">
        <x:v>-42846.25</x:v>
      </x:c>
      <x:c r="G18" s="33" t="n">
        <x:v>457.5</x:v>
      </x:c>
      <x:c r="H18" s="34" t="n">
        <x:v>457.5</x:v>
      </x:c>
    </x:row>
    <x:row r="19" ht="15" hidden="0" customHeight="1">
      <x:c r="A19" s="31" t="n">
        <x:v>130</x:v>
      </x:c>
      <x:c r="B19" s="39" t="str">
        <x:v>DÜKKAN SATIŞ </x:v>
      </x:c>
      <x:c r="C19" s="32" t="str">
        <x:v>MUS438388</x:v>
      </x:c>
      <x:c r="D19" s="33" t="n">
        <x:v>4351.95</x:v>
      </x:c>
      <x:c r="E19" s="33" t="n">
        <x:v>4351.95</x:v>
      </x:c>
      <x:c r="F19" s="33" t="n">
        <x:v>4052.95</x:v>
      </x:c>
      <x:c r="G19" s="33" t="n">
        <x:v>-299</x:v>
      </x:c>
      <x:c r="H19" s="34" t="n">
        <x:v>299</x:v>
      </x:c>
    </x:row>
    <x:row r="20" ht="15" hidden="0" customHeight="1">
      <x:c r="A20" s="31" t="n">
        <x:v>106</x:v>
      </x:c>
      <x:c r="B20" s="39" t="str">
        <x:v>BERK BATUHAN KİBAR</x:v>
      </x:c>
      <x:c r="C20" s="32" t="str">
        <x:v>MUS569042</x:v>
      </x:c>
      <x:c r="D20" s="33" t="n">
        <x:v>-250</x:v>
      </x:c>
      <x:c r="E20" s="33" t="n">
        <x:v>-250</x:v>
      </x:c>
      <x:c r="F20" s="33" t="n">
        <x:v>0</x:v>
      </x:c>
      <x:c r="G20" s="33" t="n">
        <x:v>250</x:v>
      </x:c>
      <x:c r="H20" s="34" t="n">
        <x:v>-250</x:v>
      </x:c>
    </x:row>
    <x:row r="21" ht="26.399999618530273" hidden="0" customHeight="1">
      <x:c r="A21" s="31" t="n">
        <x:v>138</x:v>
      </x:c>
      <x:c r="B21" s="39" t="str">
        <x:v>EVRENS GIDA VE IHTIYAÇ MADDELERI INSAAT TAAHHÜT TICARET VE SANAYI LIMITED SIRKETI </x:v>
      </x:c>
      <x:c r="C21" s="32" t="str">
        <x:v>MUS303675</x:v>
      </x:c>
      <x:c r="D21" s="33" t="n">
        <x:v>0</x:v>
      </x:c>
      <x:c r="E21" s="33" t="n">
        <x:v>0</x:v>
      </x:c>
      <x:c r="F21" s="33" t="n">
        <x:v>250</x:v>
      </x:c>
      <x:c r="G21" s="33" t="n">
        <x:v>250</x:v>
      </x:c>
      <x:c r="H21" s="34" t="n">
        <x:v>-250</x:v>
      </x:c>
    </x:row>
    <x:row r="22" ht="15" hidden="0" customHeight="1">
      <x:c r="A22" s="31" t="n">
        <x:v>28</x:v>
      </x:c>
      <x:c r="B22" s="39" t="str">
        <x:v>AHMET DURMAZ</x:v>
      </x:c>
      <x:c r="C22" s="32" t="str">
        <x:v>MUS151791</x:v>
      </x:c>
      <x:c r="D22" s="33" t="n">
        <x:v>80149.48</x:v>
      </x:c>
      <x:c r="E22" s="33" t="n">
        <x:v>76459.48</x:v>
      </x:c>
      <x:c r="F22" s="33" t="n">
        <x:v>76225.23</x:v>
      </x:c>
      <x:c r="G22" s="33" t="n">
        <x:v>-234.25</x:v>
      </x:c>
      <x:c r="H22" s="34" t="n">
        <x:v>3924.25</x:v>
      </x:c>
    </x:row>
    <x:row r="23" ht="15" hidden="0" customHeight="1">
      <x:c r="A23" s="31" t="n">
        <x:v>34</x:v>
      </x:c>
      <x:c r="B23" s="39" t="str">
        <x:v>CVZ AGRO GIDA DIŞ TİCARET LİMİTED ŞİRKETİ </x:v>
      </x:c>
      <x:c r="C23" s="32" t="str">
        <x:v>MUS635155</x:v>
      </x:c>
      <x:c r="D23" s="33" t="n">
        <x:v>-57730</x:v>
      </x:c>
      <x:c r="E23" s="33" t="n">
        <x:v>-57267</x:v>
      </x:c>
      <x:c r="F23" s="33" t="n">
        <x:v>-57498.5</x:v>
      </x:c>
      <x:c r="G23" s="33" t="n">
        <x:v>-231.5</x:v>
      </x:c>
      <x:c r="H23" s="34" t="n">
        <x:v>-231.5</x:v>
      </x:c>
    </x:row>
    <x:row r="24" ht="15" hidden="0" customHeight="1">
      <x:c r="A24" s="31" t="n">
        <x:v>2</x:v>
      </x:c>
      <x:c r="B24" s="39" t="str">
        <x:v>MALİKE PEDİZ</x:v>
      </x:c>
      <x:c r="C24" s="32" t="str">
        <x:v>MUS985975</x:v>
      </x:c>
      <x:c r="D24" s="33" t="n">
        <x:v>29380</x:v>
      </x:c>
      <x:c r="E24" s="33" t="n">
        <x:v>28840</x:v>
      </x:c>
      <x:c r="F24" s="33" t="n">
        <x:v>28640</x:v>
      </x:c>
      <x:c r="G24" s="33" t="n">
        <x:v>-200</x:v>
      </x:c>
      <x:c r="H24" s="34" t="n">
        <x:v>740</x:v>
      </x:c>
    </x:row>
    <x:row r="25" ht="15" hidden="0" customHeight="1">
      <x:c r="A25" s="31" t="n">
        <x:v>87</x:v>
      </x:c>
      <x:c r="B25" s="39" t="str">
        <x:v>ABDÜLKADİR DEMİR OSMANLI ÇEREZ</x:v>
      </x:c>
      <x:c r="C25" s="32" t="str">
        <x:v>MUS766054</x:v>
      </x:c>
      <x:c r="D25" s="33" t="n">
        <x:v>-72786.74</x:v>
      </x:c>
      <x:c r="E25" s="33" t="n">
        <x:v>-73016.74</x:v>
      </x:c>
      <x:c r="F25" s="33" t="n">
        <x:v>-72841.74</x:v>
      </x:c>
      <x:c r="G25" s="33" t="n">
        <x:v>175</x:v>
      </x:c>
      <x:c r="H25" s="34" t="n">
        <x:v>55</x:v>
      </x:c>
    </x:row>
    <x:row r="26" ht="26.399999618530273" hidden="0" customHeight="1">
      <x:c r="A26" s="31" t="n">
        <x:v>29</x:v>
      </x:c>
      <x:c r="B26" s="39" t="str">
        <x:v>ADALYA NUTS EDT TURİZM İTHALAT İHRACAT SANAYİ VE TİCARET LİMİTED ŞİRKETİ </x:v>
      </x:c>
      <x:c r="C26" s="32" t="str">
        <x:v>MUS842688</x:v>
      </x:c>
      <x:c r="D26" s="33" t="n">
        <x:v>87644.22</x:v>
      </x:c>
      <x:c r="E26" s="33" t="n">
        <x:v>87644.22</x:v>
      </x:c>
      <x:c r="F26" s="33" t="n">
        <x:v>87537.22</x:v>
      </x:c>
      <x:c r="G26" s="33" t="n">
        <x:v>-107</x:v>
      </x:c>
      <x:c r="H26" s="34" t="n">
        <x:v>107</x:v>
      </x:c>
    </x:row>
    <x:row r="27" ht="15" hidden="0" customHeight="1">
      <x:c r="A27" s="31" t="n">
        <x:v>13</x:v>
      </x:c>
      <x:c r="B27" s="39" t="str">
        <x:v>LEVENT PEHLİVAN</x:v>
      </x:c>
      <x:c r="C27" s="32" t="str">
        <x:v>MUS972992</x:v>
      </x:c>
      <x:c r="D27" s="33" t="n">
        <x:v>92307.9</x:v>
      </x:c>
      <x:c r="E27" s="33" t="n">
        <x:v>92307.9</x:v>
      </x:c>
      <x:c r="F27" s="33" t="n">
        <x:v>92207.9</x:v>
      </x:c>
      <x:c r="G27" s="33" t="n">
        <x:v>-100</x:v>
      </x:c>
      <x:c r="H27" s="34" t="n">
        <x:v>100</x:v>
      </x:c>
    </x:row>
    <x:row r="28" ht="15" hidden="0" customHeight="1">
      <x:c r="A28" s="31" t="n">
        <x:v>1</x:v>
      </x:c>
      <x:c r="B28" s="39" t="str">
        <x:v>Serhan Kalay</x:v>
      </x:c>
      <x:c r="C28" s="32" t="str">
        <x:v>MUS837462</x:v>
      </x:c>
      <x:c r="D28" s="33" t="n">
        <x:v>137239.74</x:v>
      </x:c>
      <x:c r="E28" s="33" t="n">
        <x:v>-1029.59</x:v>
      </x:c>
      <x:c r="F28" s="33" t="n">
        <x:v>-1089.59</x:v>
      </x:c>
      <x:c r="G28" s="33" t="n">
        <x:v>-60</x:v>
      </x:c>
      <x:c r="H28" s="34" t="n">
        <x:v>138329.33</x:v>
      </x:c>
    </x:row>
    <x:row r="29" ht="15" hidden="0" customHeight="1">
      <x:c r="A29" s="31" t="n">
        <x:v>49</x:v>
      </x:c>
      <x:c r="B29" s="39" t="str">
        <x:v>ERGONİK GIDA KOZMETİK TİC.SAN.LTD.ŞTİ. </x:v>
      </x:c>
      <x:c r="C29" s="32" t="str">
        <x:v>MUS773799</x:v>
      </x:c>
      <x:c r="D29" s="33" t="n">
        <x:v>20820</x:v>
      </x:c>
      <x:c r="E29" s="33" t="n">
        <x:v>20820</x:v>
      </x:c>
      <x:c r="F29" s="33" t="n">
        <x:v>20870</x:v>
      </x:c>
      <x:c r="G29" s="33" t="n">
        <x:v>50</x:v>
      </x:c>
      <x:c r="H29" s="34" t="n">
        <x:v>-50</x:v>
      </x:c>
    </x:row>
    <x:row r="30" ht="15" hidden="0" customHeight="1">
      <x:c r="A30" s="31" t="n">
        <x:v>5</x:v>
      </x:c>
      <x:c r="B30" s="39" t="str">
        <x:v>MUSTAFA AKPINAR</x:v>
      </x:c>
      <x:c r="C30" s="32" t="str">
        <x:v>MUS552271</x:v>
      </x:c>
      <x:c r="D30" s="33" t="n">
        <x:v>19030</x:v>
      </x:c>
      <x:c r="E30" s="33" t="n">
        <x:v>19030</x:v>
      </x:c>
      <x:c r="F30" s="33" t="n">
        <x:v>18990</x:v>
      </x:c>
      <x:c r="G30" s="33" t="n">
        <x:v>-40</x:v>
      </x:c>
      <x:c r="H30" s="34" t="n">
        <x:v>40</x:v>
      </x:c>
    </x:row>
    <x:row r="31" ht="15" hidden="0" customHeight="1">
      <x:c r="A31" s="31" t="n">
        <x:v>44</x:v>
      </x:c>
      <x:c r="B31" s="39" t="str">
        <x:v>SULTANS NATURAL GIDA LTD.ŞTİ. PTT YANI</x:v>
      </x:c>
      <x:c r="C31" s="32" t="str">
        <x:v>MUS314011</x:v>
      </x:c>
      <x:c r="D31" s="33" t="n">
        <x:v>12193.05</x:v>
      </x:c>
      <x:c r="E31" s="33" t="n">
        <x:v>12193.05</x:v>
      </x:c>
      <x:c r="F31" s="33" t="n">
        <x:v>12155.45</x:v>
      </x:c>
      <x:c r="G31" s="33" t="n">
        <x:v>-37.599999999998545</x:v>
      </x:c>
      <x:c r="H31" s="34" t="n">
        <x:v>37.599999999998545</x:v>
      </x:c>
    </x:row>
    <x:row r="32" ht="15" hidden="0" customHeight="1">
      <x:c r="A32" s="31" t="n">
        <x:v>68</x:v>
      </x:c>
      <x:c r="B32" s="39" t="str">
        <x:v>İLYAS YILDIRIM</x:v>
      </x:c>
      <x:c r="C32" s="32" t="str">
        <x:v>MUS369054</x:v>
      </x:c>
      <x:c r="D32" s="33" t="n">
        <x:v>0</x:v>
      </x:c>
      <x:c r="E32" s="33" t="n">
        <x:v>0</x:v>
      </x:c>
      <x:c r="F32" s="33" t="n">
        <x:v>25</x:v>
      </x:c>
      <x:c r="G32" s="33" t="n">
        <x:v>25</x:v>
      </x:c>
      <x:c r="H32" s="34" t="n">
        <x:v>-25</x:v>
      </x:c>
    </x:row>
    <x:row r="33" ht="15" hidden="0" customHeight="1">
      <x:c r="A33" s="31" t="n">
        <x:v>8</x:v>
      </x:c>
      <x:c r="B33" s="39" t="str">
        <x:v>SAKLIDAĞ GIDA HÜSEYİN CAHİT ÇETİNKAYA</x:v>
      </x:c>
      <x:c r="C33" s="32" t="str">
        <x:v>MUS535111</x:v>
      </x:c>
      <x:c r="D33" s="33" t="n">
        <x:v>16447.5</x:v>
      </x:c>
      <x:c r="E33" s="33" t="n">
        <x:v>22167.5</x:v>
      </x:c>
      <x:c r="F33" s="33" t="n">
        <x:v>22187.5</x:v>
      </x:c>
      <x:c r="G33" s="33" t="n">
        <x:v>20</x:v>
      </x:c>
      <x:c r="H33" s="34" t="n">
        <x:v>-5740</x:v>
      </x:c>
    </x:row>
    <x:row r="34" ht="15" hidden="0" customHeight="1">
      <x:c r="A34" s="35" t="n">
        <x:v>4</x:v>
      </x:c>
      <x:c r="B34" s="40" t="str">
        <x:v>YAKUP ESER</x:v>
      </x:c>
      <x:c r="C34" s="36" t="str">
        <x:v>MUS685546</x:v>
      </x:c>
      <x:c r="D34" s="37" t="n">
        <x:v>20008</x:v>
      </x:c>
      <x:c r="E34" s="37" t="n">
        <x:v>20008</x:v>
      </x:c>
      <x:c r="F34" s="37" t="n">
        <x:v>20000</x:v>
      </x:c>
      <x:c r="G34" s="37" t="n">
        <x:v>-8</x:v>
      </x:c>
      <x:c r="H34" s="38" t="n">
        <x:v>8</x:v>
      </x:c>
    </x:row>
  </x:sheetData>
  <x:conditionalFormatting sqref="G2:G34">
    <x:cfRule type="cellIs" dxfId="0" priority="1" operator="greaterThan">
      <x:formula>0</x:formula>
    </x:cfRule>
    <x:cfRule type="cellIs" dxfId="1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2b1e723b3f4480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40" hidden="0" customWidth="1"/>
    <x:col min="3" max="3" width="12" hidden="0" customWidth="1"/>
    <x:col min="4" max="4" width="14" hidden="0" customWidth="1"/>
    <x:col min="5" max="5" width="12" hidden="0" customWidth="1"/>
    <x:col min="6" max="6" width="12" hidden="0" customWidth="1"/>
    <x:col min="7" max="7" width="18" hidden="0" customWidth="1"/>
    <x:col min="8" max="8" width="18" hidden="0" customWidth="1"/>
    <x:col min="9" max="9" width="18" hidden="0" customWidth="1"/>
  </x:cols>
  <x:sheetData>
    <x:row r="1">
      <x:c r="A1" s="28" t="str">
        <x:v>Müşteri ID</x:v>
      </x:c>
      <x:c r="B1" s="29" t="str">
        <x:v>Müşteri</x:v>
      </x:c>
      <x:c r="C1" s="29" t="str">
        <x:v>Fatura ID</x:v>
      </x:c>
      <x:c r="D1" s="29" t="str">
        <x:v>Fatura Tarihi</x:v>
      </x:c>
      <x:c r="E1" s="29" t="str">
        <x:v>Tür</x:v>
      </x:c>
      <x:c r="F1" s="29" t="str">
        <x:v>İptal</x:v>
      </x:c>
      <x:c r="G1" s="29" t="str">
        <x:v>Ara Toplam</x:v>
      </x:c>
      <x:c r="H1" s="29" t="str">
        <x:v>Genel Toplam</x:v>
      </x:c>
      <x:c r="I1" s="30" t="str">
        <x:v>Hesap Etkisi</x:v>
      </x:c>
    </x:row>
    <x:row r="2" ht="15" hidden="0" customHeight="1">
      <x:c r="A2" s="31" t="n">
        <x:v>60</x:v>
      </x:c>
      <x:c r="B2" s="39" t="str">
        <x:v>OSCAR LOKUM BAHARAT TİCARET LİMİTED ŞİRKETİ </x:v>
      </x:c>
      <x:c r="C2" s="32" t="n">
        <x:v>758</x:v>
      </x:c>
      <x:c r="D2" s="42" t="n">
        <x:v>45880</x:v>
      </x:c>
      <x:c r="E2" s="32" t="str">
        <x:v>Satış</x:v>
      </x:c>
      <x:c r="F2" s="32" t="n">
        <x:v>0</x:v>
      </x:c>
      <x:c r="G2" s="33" t="n">
        <x:v>14250</x:v>
      </x:c>
      <x:c r="H2" s="33" t="n">
        <x:v>36750</x:v>
      </x:c>
      <x:c r="I2" s="34" t="n">
        <x:v>22500</x:v>
      </x:c>
    </x:row>
    <x:row r="3" ht="15" hidden="0" customHeight="1">
      <x:c r="A3" s="31" t="n">
        <x:v>54</x:v>
      </x:c>
      <x:c r="B3" s="39" t="str">
        <x:v>ÖZGÜR KESKİN</x:v>
      </x:c>
      <x:c r="C3" s="32" t="n">
        <x:v>2567</x:v>
      </x:c>
      <x:c r="D3" s="42" t="n">
        <x:v>46128</x:v>
      </x:c>
      <x:c r="E3" s="32" t="str">
        <x:v>Satış</x:v>
      </x:c>
      <x:c r="F3" s="32" t="n">
        <x:v>0</x:v>
      </x:c>
      <x:c r="G3" s="33" t="n">
        <x:v>2500</x:v>
      </x:c>
      <x:c r="H3" s="33" t="n">
        <x:v>25000</x:v>
      </x:c>
      <x:c r="I3" s="34" t="n">
        <x:v>22500</x:v>
      </x:c>
    </x:row>
    <x:row r="4" ht="15" hidden="0" customHeight="1">
      <x:c r="A4" s="31" t="n">
        <x:v>108</x:v>
      </x:c>
      <x:c r="B4" s="39" t="str">
        <x:v>TOLGA BEY</x:v>
      </x:c>
      <x:c r="C4" s="32" t="n">
        <x:v>2272</x:v>
      </x:c>
      <x:c r="D4" s="42" t="n">
        <x:v>46106</x:v>
      </x:c>
      <x:c r="E4" s="32" t="str">
        <x:v>Satış</x:v>
      </x:c>
      <x:c r="F4" s="32" t="n">
        <x:v>0</x:v>
      </x:c>
      <x:c r="G4" s="33" t="n">
        <x:v>2375</x:v>
      </x:c>
      <x:c r="H4" s="33" t="n">
        <x:v>11875</x:v>
      </x:c>
      <x:c r="I4" s="34" t="n">
        <x:v>9500</x:v>
      </x:c>
    </x:row>
    <x:row r="5" ht="15" hidden="0" customHeight="1">
      <x:c r="A5" s="31" t="n">
        <x:v>71</x:v>
      </x:c>
      <x:c r="B5" s="39" t="str">
        <x:v>AHMET KAYAHAN</x:v>
      </x:c>
      <x:c r="C5" s="32" t="n">
        <x:v>297</x:v>
      </x:c>
      <x:c r="D5" s="42" t="n">
        <x:v>45812</x:v>
      </x:c>
      <x:c r="E5" s="32" t="str">
        <x:v>Satış</x:v>
      </x:c>
      <x:c r="F5" s="32" t="n">
        <x:v>0</x:v>
      </x:c>
      <x:c r="G5" s="33" t="n">
        <x:v>30000</x:v>
      </x:c>
      <x:c r="H5" s="33" t="n">
        <x:v>38500</x:v>
      </x:c>
      <x:c r="I5" s="34" t="n">
        <x:v>8500</x:v>
      </x:c>
    </x:row>
    <x:row r="6" ht="15" hidden="0" customHeight="1">
      <x:c r="A6" s="31" t="n">
        <x:v>81</x:v>
      </x:c>
      <x:c r="B6" s="39" t="str">
        <x:v>MEHMET SU MUHTAR</x:v>
      </x:c>
      <x:c r="C6" s="32" t="n">
        <x:v>2311</x:v>
      </x:c>
      <x:c r="D6" s="42" t="n">
        <x:v>46096</x:v>
      </x:c>
      <x:c r="E6" s="32" t="str">
        <x:v>Alış</x:v>
      </x:c>
      <x:c r="F6" s="32" t="n">
        <x:v>0</x:v>
      </x:c>
      <x:c r="G6" s="33" t="n">
        <x:v>47500</x:v>
      </x:c>
      <x:c r="H6" s="33" t="n">
        <x:v>52000</x:v>
      </x:c>
      <x:c r="I6" s="34" t="n">
        <x:v>-4500</x:v>
      </x:c>
    </x:row>
    <x:row r="7" ht="15" hidden="0" customHeight="1">
      <x:c r="A7" s="31" t="n">
        <x:v>92</x:v>
      </x:c>
      <x:c r="B7" s="39" t="str">
        <x:v>BARIŞ BEY KEMER</x:v>
      </x:c>
      <x:c r="C7" s="32" t="n">
        <x:v>1220</x:v>
      </x:c>
      <x:c r="D7" s="42" t="n">
        <x:v>45932</x:v>
      </x:c>
      <x:c r="E7" s="32" t="str">
        <x:v>Satış</x:v>
      </x:c>
      <x:c r="F7" s="32" t="n">
        <x:v>0</x:v>
      </x:c>
      <x:c r="G7" s="33" t="n">
        <x:v>4340</x:v>
      </x:c>
      <x:c r="H7" s="33" t="n">
        <x:v>1600</x:v>
      </x:c>
      <x:c r="I7" s="34" t="n">
        <x:v>-2740</x:v>
      </x:c>
    </x:row>
    <x:row r="8" ht="15" hidden="0" customHeight="1">
      <x:c r="A8" s="31" t="n">
        <x:v>94</x:v>
      </x:c>
      <x:c r="B8" s="39" t="str">
        <x:v>OSKAR KEMER</x:v>
      </x:c>
      <x:c r="C8" s="32" t="n">
        <x:v>212</x:v>
      </x:c>
      <x:c r="D8" s="42" t="n">
        <x:v>45805</x:v>
      </x:c>
      <x:c r="E8" s="32" t="str">
        <x:v>Satış</x:v>
      </x:c>
      <x:c r="F8" s="32" t="n">
        <x:v>0</x:v>
      </x:c>
      <x:c r="G8" s="33" t="n">
        <x:v>6050</x:v>
      </x:c>
      <x:c r="H8" s="33" t="n">
        <x:v>3650</x:v>
      </x:c>
      <x:c r="I8" s="34" t="n">
        <x:v>-2400</x:v>
      </x:c>
    </x:row>
    <x:row r="9" ht="15" hidden="0" customHeight="1">
      <x:c r="A9" s="31" t="n">
        <x:v>66</x:v>
      </x:c>
      <x:c r="B9" s="39" t="str">
        <x:v>ÖNDER KAHRAMAN</x:v>
      </x:c>
      <x:c r="C9" s="32" t="n">
        <x:v>412</x:v>
      </x:c>
      <x:c r="D9" s="42" t="n">
        <x:v>45832</x:v>
      </x:c>
      <x:c r="E9" s="32" t="str">
        <x:v>Satış</x:v>
      </x:c>
      <x:c r="F9" s="32" t="n">
        <x:v>0</x:v>
      </x:c>
      <x:c r="G9" s="33" t="n">
        <x:v>4480</x:v>
      </x:c>
      <x:c r="H9" s="33" t="n">
        <x:v>2100</x:v>
      </x:c>
      <x:c r="I9" s="34" t="n">
        <x:v>-2380</x:v>
      </x:c>
    </x:row>
    <x:row r="10" ht="15" hidden="0" customHeight="1">
      <x:c r="A10" s="31" t="n">
        <x:v>34</x:v>
      </x:c>
      <x:c r="B10" s="39" t="str">
        <x:v>CVZ AGRO GIDA DIŞ TİCARET LİMİTED ŞİRKETİ </x:v>
      </x:c>
      <x:c r="C10" s="32" t="n">
        <x:v>1110</x:v>
      </x:c>
      <x:c r="D10" s="42" t="n">
        <x:v>45908</x:v>
      </x:c>
      <x:c r="E10" s="32" t="str">
        <x:v>Alış</x:v>
      </x:c>
      <x:c r="F10" s="32" t="n">
        <x:v>0</x:v>
      </x:c>
      <x:c r="G10" s="33" t="n">
        <x:v>202000</x:v>
      </x:c>
      <x:c r="H10" s="33" t="n">
        <x:v>204020</x:v>
      </x:c>
      <x:c r="I10" s="34" t="n">
        <x:v>-2020</x:v>
      </x:c>
    </x:row>
    <x:row r="11" ht="15" hidden="0" customHeight="1">
      <x:c r="A11" s="31" t="n">
        <x:v>54</x:v>
      </x:c>
      <x:c r="B11" s="39" t="str">
        <x:v>ÖZGÜR KESKİN</x:v>
      </x:c>
      <x:c r="C11" s="32" t="n">
        <x:v>671</x:v>
      </x:c>
      <x:c r="D11" s="42" t="n">
        <x:v>45868</x:v>
      </x:c>
      <x:c r="E11" s="32" t="str">
        <x:v>Satış</x:v>
      </x:c>
      <x:c r="F11" s="32" t="n">
        <x:v>0</x:v>
      </x:c>
      <x:c r="G11" s="33" t="n">
        <x:v>64090</x:v>
      </x:c>
      <x:c r="H11" s="33" t="n">
        <x:v>62220</x:v>
      </x:c>
      <x:c r="I11" s="34" t="n">
        <x:v>-1870</x:v>
      </x:c>
    </x:row>
    <x:row r="12" ht="15" hidden="0" customHeight="1">
      <x:c r="A12" s="31" t="n">
        <x:v>34</x:v>
      </x:c>
      <x:c r="B12" s="39" t="str">
        <x:v>CVZ AGRO GIDA DIŞ TİCARET LİMİTED ŞİRKETİ </x:v>
      </x:c>
      <x:c r="C12" s="32" t="n">
        <x:v>463</x:v>
      </x:c>
      <x:c r="D12" s="42" t="n">
        <x:v>45824</x:v>
      </x:c>
      <x:c r="E12" s="32" t="str">
        <x:v>Alış</x:v>
      </x:c>
      <x:c r="F12" s="32" t="n">
        <x:v>0</x:v>
      </x:c>
      <x:c r="G12" s="33" t="n">
        <x:v>36006.5</x:v>
      </x:c>
      <x:c r="H12" s="33" t="n">
        <x:v>34150</x:v>
      </x:c>
      <x:c r="I12" s="34" t="n">
        <x:v>1856.5</x:v>
      </x:c>
    </x:row>
    <x:row r="13" ht="26.399999618530273" hidden="0" customHeight="1">
      <x:c r="A13" s="31" t="n">
        <x:v>46</x:v>
      </x:c>
      <x:c r="B13" s="39" t="str">
        <x:v>GÜVENCAN GIDA PAZARLAMA TURİZM SANAYİ VE TİCARET LİMİTED ŞİRKETİ </x:v>
      </x:c>
      <x:c r="C13" s="32" t="n">
        <x:v>2504</x:v>
      </x:c>
      <x:c r="D13" s="42" t="n">
        <x:v>46121</x:v>
      </x:c>
      <x:c r="E13" s="32" t="str">
        <x:v>Alış</x:v>
      </x:c>
      <x:c r="F13" s="32" t="n">
        <x:v>0</x:v>
      </x:c>
      <x:c r="G13" s="33" t="n">
        <x:v>19124</x:v>
      </x:c>
      <x:c r="H13" s="33" t="n">
        <x:v>20644</x:v>
      </x:c>
      <x:c r="I13" s="34" t="n">
        <x:v>-1520</x:v>
      </x:c>
    </x:row>
    <x:row r="14" ht="15" hidden="0" customHeight="1">
      <x:c r="A14" s="31" t="n">
        <x:v>65</x:v>
      </x:c>
      <x:c r="B14" s="39" t="str">
        <x:v>NAZİF ÇİFTÇİ DELTA BAHARAT/KINA BELLA</x:v>
      </x:c>
      <x:c r="C14" s="32" t="n">
        <x:v>131</x:v>
      </x:c>
      <x:c r="D14" s="42" t="n">
        <x:v>45798</x:v>
      </x:c>
      <x:c r="E14" s="32" t="str">
        <x:v>Alış</x:v>
      </x:c>
      <x:c r="F14" s="32" t="n">
        <x:v>0</x:v>
      </x:c>
      <x:c r="G14" s="33" t="n">
        <x:v>16260</x:v>
      </x:c>
      <x:c r="H14" s="33" t="n">
        <x:v>17760</x:v>
      </x:c>
      <x:c r="I14" s="34" t="n">
        <x:v>-1500</x:v>
      </x:c>
    </x:row>
    <x:row r="15" ht="15" hidden="0" customHeight="1">
      <x:c r="A15" s="31" t="n">
        <x:v>89</x:v>
      </x:c>
      <x:c r="B15" s="39" t="str">
        <x:v>EFSANE BAHARAT</x:v>
      </x:c>
      <x:c r="C15" s="32" t="n">
        <x:v>237</x:v>
      </x:c>
      <x:c r="D15" s="42" t="n">
        <x:v>45808</x:v>
      </x:c>
      <x:c r="E15" s="32" t="str">
        <x:v>Alış</x:v>
      </x:c>
      <x:c r="F15" s="32" t="n">
        <x:v>0</x:v>
      </x:c>
      <x:c r="G15" s="33" t="n">
        <x:v>7359.6</x:v>
      </x:c>
      <x:c r="H15" s="33" t="n">
        <x:v>8459.6</x:v>
      </x:c>
      <x:c r="I15" s="34" t="n">
        <x:v>-1100</x:v>
      </x:c>
    </x:row>
    <x:row r="16" ht="15" hidden="0" customHeight="1">
      <x:c r="A16" s="31" t="n">
        <x:v>54</x:v>
      </x:c>
      <x:c r="B16" s="39" t="str">
        <x:v>ÖZGÜR KESKİN</x:v>
      </x:c>
      <x:c r="C16" s="32" t="n">
        <x:v>2693</x:v>
      </x:c>
      <x:c r="D16" s="42" t="n">
        <x:v>46135</x:v>
      </x:c>
      <x:c r="E16" s="32" t="str">
        <x:v>Satış</x:v>
      </x:c>
      <x:c r="F16" s="32" t="n">
        <x:v>0</x:v>
      </x:c>
      <x:c r="G16" s="33" t="n">
        <x:v>2250</x:v>
      </x:c>
      <x:c r="H16" s="33" t="n">
        <x:v>3250</x:v>
      </x:c>
      <x:c r="I16" s="34" t="n">
        <x:v>1000</x:v>
      </x:c>
    </x:row>
    <x:row r="17" ht="15" hidden="0" customHeight="1">
      <x:c r="A17" s="31" t="n">
        <x:v>96</x:v>
      </x:c>
      <x:c r="B17" s="39" t="str">
        <x:v>ERAY BEY KAYF GIDA TUR.SAN.VE TİC.LTD.ŞTİ.</x:v>
      </x:c>
      <x:c r="C17" s="32" t="n">
        <x:v>620</x:v>
      </x:c>
      <x:c r="D17" s="42" t="n">
        <x:v>45862</x:v>
      </x:c>
      <x:c r="E17" s="32" t="str">
        <x:v>Satış</x:v>
      </x:c>
      <x:c r="F17" s="32" t="n">
        <x:v>0</x:v>
      </x:c>
      <x:c r="G17" s="33" t="n">
        <x:v>3330</x:v>
      </x:c>
      <x:c r="H17" s="33" t="n">
        <x:v>4230</x:v>
      </x:c>
      <x:c r="I17" s="34" t="n">
        <x:v>900</x:v>
      </x:c>
    </x:row>
    <x:row r="18" ht="15" hidden="0" customHeight="1">
      <x:c r="A18" s="31" t="n">
        <x:v>64</x:v>
      </x:c>
      <x:c r="B18" s="39" t="str">
        <x:v>AYDOĞAN KİRİŞÇİ CEMİL EFENDİ</x:v>
      </x:c>
      <x:c r="C18" s="32" t="n">
        <x:v>1052</x:v>
      </x:c>
      <x:c r="D18" s="42" t="n">
        <x:v>45910</x:v>
      </x:c>
      <x:c r="E18" s="32" t="str">
        <x:v>Satış</x:v>
      </x:c>
      <x:c r="F18" s="32" t="n">
        <x:v>0</x:v>
      </x:c>
      <x:c r="G18" s="33" t="n">
        <x:v>3496</x:v>
      </x:c>
      <x:c r="H18" s="33" t="n">
        <x:v>2700</x:v>
      </x:c>
      <x:c r="I18" s="34" t="n">
        <x:v>-796</x:v>
      </x:c>
    </x:row>
    <x:row r="19" ht="15" hidden="0" customHeight="1">
      <x:c r="A19" s="31" t="n">
        <x:v>20</x:v>
      </x:c>
      <x:c r="B19" s="39" t="str">
        <x:v>RAHMİ TEKİN</x:v>
      </x:c>
      <x:c r="C19" s="32" t="n">
        <x:v>299</x:v>
      </x:c>
      <x:c r="D19" s="42" t="n">
        <x:v>45813</x:v>
      </x:c>
      <x:c r="E19" s="32" t="str">
        <x:v>Satış</x:v>
      </x:c>
      <x:c r="F19" s="32" t="n">
        <x:v>0</x:v>
      </x:c>
      <x:c r="G19" s="33" t="n">
        <x:v>3250</x:v>
      </x:c>
      <x:c r="H19" s="33" t="n">
        <x:v>2550</x:v>
      </x:c>
      <x:c r="I19" s="34" t="n">
        <x:v>-700</x:v>
      </x:c>
    </x:row>
    <x:row r="20" ht="15" hidden="0" customHeight="1">
      <x:c r="A20" s="31" t="n">
        <x:v>7</x:v>
      </x:c>
      <x:c r="B20" s="39" t="str">
        <x:v>RABİA ÇİMEN</x:v>
      </x:c>
      <x:c r="C20" s="32" t="n">
        <x:v>908</x:v>
      </x:c>
      <x:c r="D20" s="42" t="n">
        <x:v>45895</x:v>
      </x:c>
      <x:c r="E20" s="32" t="str">
        <x:v>Satış</x:v>
      </x:c>
      <x:c r="F20" s="32" t="n">
        <x:v>0</x:v>
      </x:c>
      <x:c r="G20" s="33" t="n">
        <x:v>10350</x:v>
      </x:c>
      <x:c r="H20" s="33" t="n">
        <x:v>10850</x:v>
      </x:c>
      <x:c r="I20" s="34" t="n">
        <x:v>500</x:v>
      </x:c>
    </x:row>
    <x:row r="21" ht="15" hidden="0" customHeight="1">
      <x:c r="A21" s="31" t="n">
        <x:v>136</x:v>
      </x:c>
      <x:c r="B21" s="39" t="str">
        <x:v>ALP KURUYEMİŞ </x:v>
      </x:c>
      <x:c r="C21" s="32" t="n">
        <x:v>2060</x:v>
      </x:c>
      <x:c r="D21" s="42" t="n">
        <x:v>46079</x:v>
      </x:c>
      <x:c r="E21" s="32" t="str">
        <x:v>Satış</x:v>
      </x:c>
      <x:c r="F21" s="32" t="n">
        <x:v>0</x:v>
      </x:c>
      <x:c r="G21" s="33" t="n">
        <x:v>3500</x:v>
      </x:c>
      <x:c r="H21" s="33" t="n">
        <x:v>4000</x:v>
      </x:c>
      <x:c r="I21" s="34" t="n">
        <x:v>500</x:v>
      </x:c>
    </x:row>
    <x:row r="22" ht="15" hidden="0" customHeight="1">
      <x:c r="A22" s="31" t="n">
        <x:v>39</x:v>
      </x:c>
      <x:c r="B22" s="39" t="str">
        <x:v>GÜN GIDA TİCARET LİMİTED ŞİRKETİ </x:v>
      </x:c>
      <x:c r="C22" s="32" t="n">
        <x:v>157</x:v>
      </x:c>
      <x:c r="D22" s="42" t="n">
        <x:v>45801</x:v>
      </x:c>
      <x:c r="E22" s="32" t="str">
        <x:v>Alış</x:v>
      </x:c>
      <x:c r="F22" s="32" t="n">
        <x:v>0</x:v>
      </x:c>
      <x:c r="G22" s="33" t="n">
        <x:v>46207.5</x:v>
      </x:c>
      <x:c r="H22" s="33" t="n">
        <x:v>45750</x:v>
      </x:c>
      <x:c r="I22" s="34" t="n">
        <x:v>457.5</x:v>
      </x:c>
    </x:row>
    <x:row r="23" ht="15" hidden="0" customHeight="1">
      <x:c r="A23" s="31" t="n">
        <x:v>64</x:v>
      </x:c>
      <x:c r="B23" s="39" t="str">
        <x:v>AYDOĞAN KİRİŞÇİ CEMİL EFENDİ</x:v>
      </x:c>
      <x:c r="C23" s="32" t="n">
        <x:v>673</x:v>
      </x:c>
      <x:c r="D23" s="42" t="n">
        <x:v>45868</x:v>
      </x:c>
      <x:c r="E23" s="32" t="str">
        <x:v>Satış</x:v>
      </x:c>
      <x:c r="F23" s="32" t="n">
        <x:v>0</x:v>
      </x:c>
      <x:c r="G23" s="33" t="n">
        <x:v>1500</x:v>
      </x:c>
      <x:c r="H23" s="33" t="n">
        <x:v>1800</x:v>
      </x:c>
      <x:c r="I23" s="34" t="n">
        <x:v>300</x:v>
      </x:c>
    </x:row>
    <x:row r="24" ht="15" hidden="0" customHeight="1">
      <x:c r="A24" s="31" t="n">
        <x:v>130</x:v>
      </x:c>
      <x:c r="B24" s="39" t="str">
        <x:v>DÜKKAN SATIŞ </x:v>
      </x:c>
      <x:c r="C24" s="32" t="n">
        <x:v>2470</x:v>
      </x:c>
      <x:c r="D24" s="42" t="n">
        <x:v>46120</x:v>
      </x:c>
      <x:c r="E24" s="32" t="str">
        <x:v>Satış</x:v>
      </x:c>
      <x:c r="F24" s="32" t="n">
        <x:v>0</x:v>
      </x:c>
      <x:c r="G24" s="33" t="n">
        <x:v>3900</x:v>
      </x:c>
      <x:c r="H24" s="33" t="n">
        <x:v>3601</x:v>
      </x:c>
      <x:c r="I24" s="34" t="n">
        <x:v>-299</x:v>
      </x:c>
    </x:row>
    <x:row r="25" ht="15" hidden="0" customHeight="1">
      <x:c r="A25" s="31" t="n">
        <x:v>108</x:v>
      </x:c>
      <x:c r="B25" s="39" t="str">
        <x:v>TOLGA BEY</x:v>
      </x:c>
      <x:c r="C25" s="32" t="n">
        <x:v>2047</x:v>
      </x:c>
      <x:c r="D25" s="42" t="n">
        <x:v>46078</x:v>
      </x:c>
      <x:c r="E25" s="32" t="str">
        <x:v>Satış</x:v>
      </x:c>
      <x:c r="F25" s="32" t="n">
        <x:v>0</x:v>
      </x:c>
      <x:c r="G25" s="33" t="n">
        <x:v>3250</x:v>
      </x:c>
      <x:c r="H25" s="33" t="n">
        <x:v>3500</x:v>
      </x:c>
      <x:c r="I25" s="34" t="n">
        <x:v>250</x:v>
      </x:c>
    </x:row>
    <x:row r="26" ht="15" hidden="0" customHeight="1">
      <x:c r="A26" s="31" t="n">
        <x:v>81</x:v>
      </x:c>
      <x:c r="B26" s="39" t="str">
        <x:v>MEHMET SU MUHTAR</x:v>
      </x:c>
      <x:c r="C26" s="32" t="n">
        <x:v>2336</x:v>
      </x:c>
      <x:c r="D26" s="42" t="n">
        <x:v>46111</x:v>
      </x:c>
      <x:c r="E26" s="32" t="str">
        <x:v>Alış</x:v>
      </x:c>
      <x:c r="F26" s="32" t="n">
        <x:v>0</x:v>
      </x:c>
      <x:c r="G26" s="33" t="n">
        <x:v>9250</x:v>
      </x:c>
      <x:c r="H26" s="33" t="n">
        <x:v>9000</x:v>
      </x:c>
      <x:c r="I26" s="34" t="n">
        <x:v>250</x:v>
      </x:c>
    </x:row>
    <x:row r="27" ht="15" hidden="0" customHeight="1">
      <x:c r="A27" s="31" t="n">
        <x:v>106</x:v>
      </x:c>
      <x:c r="B27" s="39" t="str">
        <x:v>BERK BATUHAN KİBAR</x:v>
      </x:c>
      <x:c r="C27" s="32" t="n">
        <x:v>2764</x:v>
      </x:c>
      <x:c r="D27" s="42" t="n">
        <x:v>46137</x:v>
      </x:c>
      <x:c r="E27" s="32" t="str">
        <x:v>Satış</x:v>
      </x:c>
      <x:c r="F27" s="32" t="n">
        <x:v>0</x:v>
      </x:c>
      <x:c r="G27" s="33" t="n">
        <x:v>905</x:v>
      </x:c>
      <x:c r="H27" s="33" t="n">
        <x:v>1155</x:v>
      </x:c>
      <x:c r="I27" s="34" t="n">
        <x:v>250</x:v>
      </x:c>
    </x:row>
    <x:row r="28" ht="26.399999618530273" hidden="0" customHeight="1">
      <x:c r="A28" s="31" t="n">
        <x:v>138</x:v>
      </x:c>
      <x:c r="B28" s="39" t="str">
        <x:v>EVRENS GIDA VE IHTIYAÇ MADDELERI INSAAT TAAHHÜT TICARET VE SANAYI LIMITED SIRKETI </x:v>
      </x:c>
      <x:c r="C28" s="32" t="n">
        <x:v>2834</x:v>
      </x:c>
      <x:c r="D28" s="42" t="n">
        <x:v>46140</x:v>
      </x:c>
      <x:c r="E28" s="32" t="str">
        <x:v>Satış</x:v>
      </x:c>
      <x:c r="F28" s="32" t="n">
        <x:v>0</x:v>
      </x:c>
      <x:c r="G28" s="33" t="n">
        <x:v>2535</x:v>
      </x:c>
      <x:c r="H28" s="33" t="n">
        <x:v>2785</x:v>
      </x:c>
      <x:c r="I28" s="34" t="n">
        <x:v>250</x:v>
      </x:c>
    </x:row>
    <x:row r="29" ht="15" hidden="0" customHeight="1">
      <x:c r="A29" s="31" t="n">
        <x:v>28</x:v>
      </x:c>
      <x:c r="B29" s="39" t="str">
        <x:v>AHMET DURMAZ</x:v>
      </x:c>
      <x:c r="C29" s="32" t="n">
        <x:v>2846</x:v>
      </x:c>
      <x:c r="D29" s="42" t="n">
        <x:v>46141</x:v>
      </x:c>
      <x:c r="E29" s="32" t="str">
        <x:v>Satış</x:v>
      </x:c>
      <x:c r="F29" s="32" t="n">
        <x:v>0</x:v>
      </x:c>
      <x:c r="G29" s="33" t="n">
        <x:v>42395</x:v>
      </x:c>
      <x:c r="H29" s="33" t="n">
        <x:v>42160.75</x:v>
      </x:c>
      <x:c r="I29" s="34" t="n">
        <x:v>-234.25</x:v>
      </x:c>
    </x:row>
    <x:row r="30" ht="15" hidden="0" customHeight="1">
      <x:c r="A30" s="31" t="n">
        <x:v>65</x:v>
      </x:c>
      <x:c r="B30" s="39" t="str">
        <x:v>NAZİF ÇİFTÇİ DELTA BAHARAT/KINA BELLA</x:v>
      </x:c>
      <x:c r="C30" s="32" t="n">
        <x:v>2039</x:v>
      </x:c>
      <x:c r="D30" s="42" t="n">
        <x:v>46076</x:v>
      </x:c>
      <x:c r="E30" s="32" t="str">
        <x:v>Alış</x:v>
      </x:c>
      <x:c r="F30" s="32" t="n">
        <x:v>0</x:v>
      </x:c>
      <x:c r="G30" s="33" t="n">
        <x:v>12720</x:v>
      </x:c>
      <x:c r="H30" s="33" t="n">
        <x:v>12500</x:v>
      </x:c>
      <x:c r="I30" s="34" t="n">
        <x:v>220</x:v>
      </x:c>
    </x:row>
    <x:row r="31" ht="15" hidden="0" customHeight="1">
      <x:c r="A31" s="31" t="n">
        <x:v>49</x:v>
      </x:c>
      <x:c r="B31" s="39" t="str">
        <x:v>ERGONİK GIDA KOZMETİK TİC.SAN.LTD.ŞTİ. </x:v>
      </x:c>
      <x:c r="C31" s="32" t="n">
        <x:v>694</x:v>
      </x:c>
      <x:c r="D31" s="42" t="n">
        <x:v>45871</x:v>
      </x:c>
      <x:c r="E31" s="32" t="str">
        <x:v>Satış</x:v>
      </x:c>
      <x:c r="F31" s="32" t="n">
        <x:v>0</x:v>
      </x:c>
      <x:c r="G31" s="33" t="n">
        <x:v>8510</x:v>
      </x:c>
      <x:c r="H31" s="33" t="n">
        <x:v>8710</x:v>
      </x:c>
      <x:c r="I31" s="34" t="n">
        <x:v>200</x:v>
      </x:c>
    </x:row>
    <x:row r="32" ht="15" hidden="0" customHeight="1">
      <x:c r="A32" s="31" t="n">
        <x:v>2</x:v>
      </x:c>
      <x:c r="B32" s="39" t="str">
        <x:v>MALİKE PEDİZ</x:v>
      </x:c>
      <x:c r="C32" s="32" t="n">
        <x:v>1195</x:v>
      </x:c>
      <x:c r="D32" s="42" t="n">
        <x:v>45927</x:v>
      </x:c>
      <x:c r="E32" s="32" t="str">
        <x:v>Satış</x:v>
      </x:c>
      <x:c r="F32" s="32" t="n">
        <x:v>0</x:v>
      </x:c>
      <x:c r="G32" s="33" t="n">
        <x:v>460</x:v>
      </x:c>
      <x:c r="H32" s="33" t="n">
        <x:v>260</x:v>
      </x:c>
      <x:c r="I32" s="34" t="n">
        <x:v>-200</x:v>
      </x:c>
    </x:row>
    <x:row r="33" ht="15" hidden="0" customHeight="1">
      <x:c r="A33" s="31" t="n">
        <x:v>108</x:v>
      </x:c>
      <x:c r="B33" s="39" t="str">
        <x:v>TOLGA BEY</x:v>
      </x:c>
      <x:c r="C33" s="32" t="n">
        <x:v>2222</x:v>
      </x:c>
      <x:c r="D33" s="42" t="n">
        <x:v>46098</x:v>
      </x:c>
      <x:c r="E33" s="32" t="str">
        <x:v>Satış</x:v>
      </x:c>
      <x:c r="F33" s="32" t="n">
        <x:v>0</x:v>
      </x:c>
      <x:c r="G33" s="33" t="n">
        <x:v>3250</x:v>
      </x:c>
      <x:c r="H33" s="33" t="n">
        <x:v>3050</x:v>
      </x:c>
      <x:c r="I33" s="34" t="n">
        <x:v>-200</x:v>
      </x:c>
    </x:row>
    <x:row r="34" ht="15" hidden="0" customHeight="1">
      <x:c r="A34" s="31" t="n">
        <x:v>71</x:v>
      </x:c>
      <x:c r="B34" s="39" t="str">
        <x:v>AHMET KAYAHAN</x:v>
      </x:c>
      <x:c r="C34" s="32" t="n">
        <x:v>259</x:v>
      </x:c>
      <x:c r="D34" s="42" t="n">
        <x:v>45810</x:v>
      </x:c>
      <x:c r="E34" s="32" t="str">
        <x:v>Satış</x:v>
      </x:c>
      <x:c r="F34" s="32" t="n">
        <x:v>0</x:v>
      </x:c>
      <x:c r="G34" s="33" t="n">
        <x:v>1000</x:v>
      </x:c>
      <x:c r="H34" s="33" t="n">
        <x:v>1150</x:v>
      </x:c>
      <x:c r="I34" s="34" t="n">
        <x:v>150</x:v>
      </x:c>
    </x:row>
    <x:row r="35" ht="15" hidden="0" customHeight="1">
      <x:c r="A35" s="31" t="n">
        <x:v>87</x:v>
      </x:c>
      <x:c r="B35" s="39" t="str">
        <x:v>ABDÜLKADİR DEMİR OSMANLI ÇEREZ</x:v>
      </x:c>
      <x:c r="C35" s="32" t="n">
        <x:v>376</x:v>
      </x:c>
      <x:c r="D35" s="42" t="n">
        <x:v>45827</x:v>
      </x:c>
      <x:c r="E35" s="32" t="str">
        <x:v>Satış</x:v>
      </x:c>
      <x:c r="F35" s="32" t="n">
        <x:v>0</x:v>
      </x:c>
      <x:c r="G35" s="33" t="n">
        <x:v>4025</x:v>
      </x:c>
      <x:c r="H35" s="33" t="n">
        <x:v>4175</x:v>
      </x:c>
      <x:c r="I35" s="34" t="n">
        <x:v>150</x:v>
      </x:c>
    </x:row>
    <x:row r="36" ht="15" hidden="0" customHeight="1">
      <x:c r="A36" s="31" t="n">
        <x:v>49</x:v>
      </x:c>
      <x:c r="B36" s="39" t="str">
        <x:v>ERGONİK GIDA KOZMETİK TİC.SAN.LTD.ŞTİ. </x:v>
      </x:c>
      <x:c r="C36" s="32" t="n">
        <x:v>669</x:v>
      </x:c>
      <x:c r="D36" s="42" t="n">
        <x:v>45868</x:v>
      </x:c>
      <x:c r="E36" s="32" t="str">
        <x:v>Satış</x:v>
      </x:c>
      <x:c r="F36" s="32" t="n">
        <x:v>0</x:v>
      </x:c>
      <x:c r="G36" s="33" t="n">
        <x:v>3000</x:v>
      </x:c>
      <x:c r="H36" s="33" t="n">
        <x:v>2850</x:v>
      </x:c>
      <x:c r="I36" s="34" t="n">
        <x:v>-150</x:v>
      </x:c>
    </x:row>
    <x:row r="37" ht="15" hidden="0" customHeight="1">
      <x:c r="A37" s="31" t="n">
        <x:v>65</x:v>
      </x:c>
      <x:c r="B37" s="39" t="str">
        <x:v>NAZİF ÇİFTÇİ DELTA BAHARAT/KINA BELLA</x:v>
      </x:c>
      <x:c r="C37" s="32" t="n">
        <x:v>1962</x:v>
      </x:c>
      <x:c r="D37" s="42" t="n">
        <x:v>46065</x:v>
      </x:c>
      <x:c r="E37" s="32" t="str">
        <x:v>Alış</x:v>
      </x:c>
      <x:c r="F37" s="32" t="n">
        <x:v>0</x:v>
      </x:c>
      <x:c r="G37" s="33" t="n">
        <x:v>91777</x:v>
      </x:c>
      <x:c r="H37" s="33" t="n">
        <x:v>91657</x:v>
      </x:c>
      <x:c r="I37" s="34" t="n">
        <x:v>120</x:v>
      </x:c>
    </x:row>
    <x:row r="38" ht="26.399999618530273" hidden="0" customHeight="1">
      <x:c r="A38" s="31" t="n">
        <x:v>29</x:v>
      </x:c>
      <x:c r="B38" s="39" t="str">
        <x:v>ADALYA NUTS EDT TURİZM İTHALAT İHRACAT SANAYİ VE TİCARET LİMİTED ŞİRKETİ </x:v>
      </x:c>
      <x:c r="C38" s="32" t="n">
        <x:v>1795</x:v>
      </x:c>
      <x:c r="D38" s="42" t="n">
        <x:v>46032</x:v>
      </x:c>
      <x:c r="E38" s="32" t="str">
        <x:v>Satış</x:v>
      </x:c>
      <x:c r="F38" s="32" t="n">
        <x:v>0</x:v>
      </x:c>
      <x:c r="G38" s="33" t="n">
        <x:v>10857</x:v>
      </x:c>
      <x:c r="H38" s="33" t="n">
        <x:v>10750</x:v>
      </x:c>
      <x:c r="I38" s="34" t="n">
        <x:v>-107</x:v>
      </x:c>
    </x:row>
    <x:row r="39" ht="15" hidden="0" customHeight="1">
      <x:c r="A39" s="31" t="n">
        <x:v>13</x:v>
      </x:c>
      <x:c r="B39" s="39" t="str">
        <x:v>LEVENT PEHLİVAN</x:v>
      </x:c>
      <x:c r="C39" s="32" t="n">
        <x:v>257</x:v>
      </x:c>
      <x:c r="D39" s="42" t="n">
        <x:v>45810</x:v>
      </x:c>
      <x:c r="E39" s="32" t="str">
        <x:v>Satış</x:v>
      </x:c>
      <x:c r="F39" s="32" t="n">
        <x:v>0</x:v>
      </x:c>
      <x:c r="G39" s="33" t="n">
        <x:v>11640</x:v>
      </x:c>
      <x:c r="H39" s="33" t="n">
        <x:v>11540</x:v>
      </x:c>
      <x:c r="I39" s="34" t="n">
        <x:v>-100</x:v>
      </x:c>
    </x:row>
    <x:row r="40" ht="15" hidden="0" customHeight="1">
      <x:c r="A40" s="31" t="n">
        <x:v>68</x:v>
      </x:c>
      <x:c r="B40" s="39" t="str">
        <x:v>İLYAS YILDIRIM</x:v>
      </x:c>
      <x:c r="C40" s="32" t="n">
        <x:v>465</x:v>
      </x:c>
      <x:c r="D40" s="42" t="n">
        <x:v>45841</x:v>
      </x:c>
      <x:c r="E40" s="32" t="str">
        <x:v>Satış</x:v>
      </x:c>
      <x:c r="F40" s="32" t="n">
        <x:v>0</x:v>
      </x:c>
      <x:c r="G40" s="33" t="n">
        <x:v>250</x:v>
      </x:c>
      <x:c r="H40" s="33" t="n">
        <x:v>350</x:v>
      </x:c>
      <x:c r="I40" s="34" t="n">
        <x:v>100</x:v>
      </x:c>
    </x:row>
    <x:row r="41" ht="15" hidden="0" customHeight="1">
      <x:c r="A41" s="31" t="n">
        <x:v>68</x:v>
      </x:c>
      <x:c r="B41" s="39" t="str">
        <x:v>İLYAS YILDIRIM</x:v>
      </x:c>
      <x:c r="C41" s="32" t="n">
        <x:v>171</x:v>
      </x:c>
      <x:c r="D41" s="42" t="n">
        <x:v>45804</x:v>
      </x:c>
      <x:c r="E41" s="32" t="str">
        <x:v>Satış</x:v>
      </x:c>
      <x:c r="F41" s="32" t="n">
        <x:v>0</x:v>
      </x:c>
      <x:c r="G41" s="33" t="n">
        <x:v>38555</x:v>
      </x:c>
      <x:c r="H41" s="33" t="n">
        <x:v>38480</x:v>
      </x:c>
      <x:c r="I41" s="34" t="n">
        <x:v>-75</x:v>
      </x:c>
    </x:row>
    <x:row r="42" ht="15" hidden="0" customHeight="1">
      <x:c r="A42" s="31" t="n">
        <x:v>34</x:v>
      </x:c>
      <x:c r="B42" s="39" t="str">
        <x:v>CVZ AGRO GIDA DIŞ TİCARET LİMİTED ŞİRKETİ </x:v>
      </x:c>
      <x:c r="C42" s="32" t="n">
        <x:v>2232</x:v>
      </x:c>
      <x:c r="D42" s="42" t="n">
        <x:v>46099</x:v>
      </x:c>
      <x:c r="E42" s="32" t="str">
        <x:v>Alış</x:v>
      </x:c>
      <x:c r="F42" s="32" t="n">
        <x:v>0</x:v>
      </x:c>
      <x:c r="G42" s="33" t="n">
        <x:v>79318</x:v>
      </x:c>
      <x:c r="H42" s="33" t="n">
        <x:v>79386</x:v>
      </x:c>
      <x:c r="I42" s="34" t="n">
        <x:v>-68</x:v>
      </x:c>
    </x:row>
    <x:row r="43" ht="15" hidden="0" customHeight="1">
      <x:c r="A43" s="31" t="n">
        <x:v>1</x:v>
      </x:c>
      <x:c r="B43" s="39" t="str">
        <x:v>Serhan Kalay</x:v>
      </x:c>
      <x:c r="C43" s="32" t="n">
        <x:v>170</x:v>
      </x:c>
      <x:c r="D43" s="42" t="n">
        <x:v>45804</x:v>
      </x:c>
      <x:c r="E43" s="32" t="str">
        <x:v>Satış</x:v>
      </x:c>
      <x:c r="F43" s="32" t="n">
        <x:v>0</x:v>
      </x:c>
      <x:c r="G43" s="33" t="n">
        <x:v>80</x:v>
      </x:c>
      <x:c r="H43" s="33" t="n">
        <x:v>20</x:v>
      </x:c>
      <x:c r="I43" s="34" t="n">
        <x:v>-60</x:v>
      </x:c>
    </x:row>
    <x:row r="44" ht="15" hidden="0" customHeight="1">
      <x:c r="A44" s="31" t="n">
        <x:v>108</x:v>
      </x:c>
      <x:c r="B44" s="39" t="str">
        <x:v>TOLGA BEY</x:v>
      </x:c>
      <x:c r="C44" s="32" t="n">
        <x:v>613</x:v>
      </x:c>
      <x:c r="D44" s="42" t="n">
        <x:v>45862</x:v>
      </x:c>
      <x:c r="E44" s="32" t="str">
        <x:v>Satış</x:v>
      </x:c>
      <x:c r="F44" s="32" t="n">
        <x:v>0</x:v>
      </x:c>
      <x:c r="G44" s="33" t="n">
        <x:v>5440</x:v>
      </x:c>
      <x:c r="H44" s="33" t="n">
        <x:v>5490</x:v>
      </x:c>
      <x:c r="I44" s="34" t="n">
        <x:v>50</x:v>
      </x:c>
    </x:row>
    <x:row r="45" ht="15" hidden="0" customHeight="1">
      <x:c r="A45" s="31" t="n">
        <x:v>5</x:v>
      </x:c>
      <x:c r="B45" s="39" t="str">
        <x:v>MUSTAFA AKPINAR</x:v>
      </x:c>
      <x:c r="C45" s="32" t="n">
        <x:v>1520</x:v>
      </x:c>
      <x:c r="D45" s="42" t="n">
        <x:v>45979</x:v>
      </x:c>
      <x:c r="E45" s="32" t="str">
        <x:v>Satış</x:v>
      </x:c>
      <x:c r="F45" s="32" t="n">
        <x:v>0</x:v>
      </x:c>
      <x:c r="G45" s="33" t="n">
        <x:v>960</x:v>
      </x:c>
      <x:c r="H45" s="33" t="n">
        <x:v>920</x:v>
      </x:c>
      <x:c r="I45" s="34" t="n">
        <x:v>-40</x:v>
      </x:c>
    </x:row>
    <x:row r="46" ht="15" hidden="0" customHeight="1">
      <x:c r="A46" s="31" t="n">
        <x:v>87</x:v>
      </x:c>
      <x:c r="B46" s="39" t="str">
        <x:v>ABDÜLKADİR DEMİR OSMANLI ÇEREZ</x:v>
      </x:c>
      <x:c r="C46" s="32" t="n">
        <x:v>1157</x:v>
      </x:c>
      <x:c r="D46" s="42" t="n">
        <x:v>45925</x:v>
      </x:c>
      <x:c r="E46" s="32" t="str">
        <x:v>Satış</x:v>
      </x:c>
      <x:c r="F46" s="32" t="n">
        <x:v>0</x:v>
      </x:c>
      <x:c r="G46" s="33" t="n">
        <x:v>3955</x:v>
      </x:c>
      <x:c r="H46" s="33" t="n">
        <x:v>3980</x:v>
      </x:c>
      <x:c r="I46" s="34" t="n">
        <x:v>25</x:v>
      </x:c>
    </x:row>
    <x:row r="47" ht="15" hidden="0" customHeight="1">
      <x:c r="A47" s="31" t="n">
        <x:v>44</x:v>
      </x:c>
      <x:c r="B47" s="39" t="str">
        <x:v>SULTANS NATURAL GIDA LTD.ŞTİ. PTT YANI</x:v>
      </x:c>
      <x:c r="C47" s="32" t="n">
        <x:v>383</x:v>
      </x:c>
      <x:c r="D47" s="42" t="n">
        <x:v>45828</x:v>
      </x:c>
      <x:c r="E47" s="32" t="str">
        <x:v>Satış</x:v>
      </x:c>
      <x:c r="F47" s="32" t="n">
        <x:v>0</x:v>
      </x:c>
      <x:c r="G47" s="33" t="n">
        <x:v>2171.5</x:v>
      </x:c>
      <x:c r="H47" s="33" t="n">
        <x:v>2150</x:v>
      </x:c>
      <x:c r="I47" s="34" t="n">
        <x:v>-21.5</x:v>
      </x:c>
    </x:row>
    <x:row r="48" ht="15" hidden="0" customHeight="1">
      <x:c r="A48" s="31" t="n">
        <x:v>8</x:v>
      </x:c>
      <x:c r="B48" s="39" t="str">
        <x:v>SAKLIDAĞ GIDA HÜSEYİN CAHİT ÇETİNKAYA</x:v>
      </x:c>
      <x:c r="C48" s="32" t="n">
        <x:v>258</x:v>
      </x:c>
      <x:c r="D48" s="42" t="n">
        <x:v>45810</x:v>
      </x:c>
      <x:c r="E48" s="32" t="str">
        <x:v>Satış</x:v>
      </x:c>
      <x:c r="F48" s="32" t="n">
        <x:v>0</x:v>
      </x:c>
      <x:c r="G48" s="33" t="n">
        <x:v>550</x:v>
      </x:c>
      <x:c r="H48" s="33" t="n">
        <x:v>570</x:v>
      </x:c>
      <x:c r="I48" s="34" t="n">
        <x:v>20</x:v>
      </x:c>
    </x:row>
    <x:row r="49" ht="15" hidden="0" customHeight="1">
      <x:c r="A49" s="31" t="n">
        <x:v>44</x:v>
      </x:c>
      <x:c r="B49" s="39" t="str">
        <x:v>SULTANS NATURAL GIDA LTD.ŞTİ. PTT YANI</x:v>
      </x:c>
      <x:c r="C49" s="32" t="n">
        <x:v>457</x:v>
      </x:c>
      <x:c r="D49" s="42" t="n">
        <x:v>45840</x:v>
      </x:c>
      <x:c r="E49" s="32" t="str">
        <x:v>Satış</x:v>
      </x:c>
      <x:c r="F49" s="32" t="n">
        <x:v>0</x:v>
      </x:c>
      <x:c r="G49" s="33" t="n">
        <x:v>1626.1</x:v>
      </x:c>
      <x:c r="H49" s="33" t="n">
        <x:v>1610</x:v>
      </x:c>
      <x:c r="I49" s="34" t="n">
        <x:v>-16.1</x:v>
      </x:c>
    </x:row>
    <x:row r="50" ht="15" hidden="0" customHeight="1">
      <x:c r="A50" s="35" t="n">
        <x:v>4</x:v>
      </x:c>
      <x:c r="B50" s="40" t="str">
        <x:v>YAKUP ESER</x:v>
      </x:c>
      <x:c r="C50" s="36" t="n">
        <x:v>186</x:v>
      </x:c>
      <x:c r="D50" s="43" t="n">
        <x:v>45804</x:v>
      </x:c>
      <x:c r="E50" s="36" t="str">
        <x:v>Satış</x:v>
      </x:c>
      <x:c r="F50" s="36" t="n">
        <x:v>0</x:v>
      </x:c>
      <x:c r="G50" s="37" t="n">
        <x:v>10008</x:v>
      </x:c>
      <x:c r="H50" s="37" t="n">
        <x:v>10000</x:v>
      </x:c>
      <x:c r="I50" s="38" t="n">
        <x:v>-8</x:v>
      </x:c>
    </x:row>
  </x:sheetData>
  <x:conditionalFormatting sqref="I2:I50">
    <x:cfRule type="cellIs" dxfId="2" priority="1" operator="greaterThan">
      <x:formula>0</x:formula>
    </x:cfRule>
    <x:cfRule type="cellIs" dxfId="3" priority="2" operator="lessThan">
      <x:formula>0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d64816dca8b40ac"/>
  </x:tableParts>
</x:worksheet>
</file>